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AD47F9BD-2FA8-4059-B9BB-FD6C86D2B1F8}" xr6:coauthVersionLast="47" xr6:coauthVersionMax="47" xr10:uidLastSave="{00000000-0000-0000-0000-000000000000}"/>
  <bookViews>
    <workbookView xWindow="-108" yWindow="-108" windowWidth="23256" windowHeight="12456" tabRatio="855" activeTab="8"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Website_API_Map" sheetId="10" r:id="rId10"/>
    <sheet name="Website_Setup"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<sst xmlns="http://schemas.openxmlformats.org/spreadsheetml/2006/main" count="10031" uniqueCount="2308">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</sst>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3">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9" fillId="4" borderId="0" xfId="0" applyFont="1" applyFill="1" applyAlignment="1">
      <alignment horizontal="center"/>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3">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0">
  <tableColumns count="7">
    <tableColumn id="1" xr3:uid="{432610E1-EB61-4ACD-97A4-8A63654F84F9}" name="Phase Delay/Ahead" dataDxfId="7"/>
    <tableColumn id="2" xr3:uid="{2C5412A7-92CE-4EAC-8330-FA329E02B968}" name="BL Finish Date" dataDxfId="6"/>
    <tableColumn id="3" xr3:uid="{0E5F2071-69D2-4243-B28B-C06740FB7648}" name="Forecast Finish Date" dataDxfId="5"/>
    <tableColumn id="4" xr3:uid="{E02C79E2-295D-4560-9843-63A6C0451E21}" name="Variance Finish Date" dataDxfId="4"/>
    <tableColumn id="5" xr3:uid="{5A1277A0-CB8F-43B1-BC65-D584276375E2}" name="Delay Reason" dataDxfId="3"/>
    <tableColumn id="6" xr3:uid="{3E4DC573-6186-4CC7-8D6B-0A44D59D4182}" name="Recovery Action" dataDxfId="2"/>
    <tableColumn id="7" xr3:uid="{C16296EE-BD20-4329-86E5-BA92EF668C0A}" name="Responsible"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9">
  <tableColumns count="9">
    <tableColumn id="1" xr3:uid="{00000000-0010-0000-0500-000001000000}" name="Risk ID" dataDxfId="28"/>
    <tableColumn id="2" xr3:uid="{00000000-0010-0000-0500-000002000000}" name="Risk Description" dataDxfId="27"/>
    <tableColumn id="3" xr3:uid="{00000000-0010-0000-0500-000003000000}" name="Impact Summary" dataDxfId="26"/>
    <tableColumn id="4" xr3:uid="{00000000-0010-0000-0500-000004000000}" name="Probability" dataDxfId="25"/>
    <tableColumn id="5" xr3:uid="{00000000-0010-0000-0500-000005000000}" name="Impact" dataDxfId="24"/>
    <tableColumn id="6" xr3:uid="{00000000-0010-0000-0500-000006000000}" name="Risk Level" dataDxfId="23"/>
    <tableColumn id="7" xr3:uid="{00000000-0010-0000-0500-000007000000}" name="Risk Owner" dataDxfId="22"/>
    <tableColumn id="8" xr3:uid="{00000000-0010-0000-0500-000008000000}" name="Mitigation" dataDxfId="21"/>
    <tableColumn id="9" xr3:uid="{00000000-0010-0000-0500-000009000000}" name="Target Date"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9"/>
    <tableColumn id="3" xr3:uid="{F0248E2B-506D-42FB-B594-3D1B0C0B4368}" name="01-Mar-2026" dataDxfId="18"/>
    <tableColumn id="4" xr3:uid="{1235EC57-E169-4937-B53F-0C4A6D4C5E0F}" name="01-Apr-2026" dataDxfId="17"/>
    <tableColumn id="5" xr3:uid="{7E0642A5-711D-421D-9854-5659F4096F36}" name="01-May-2026" dataDxfId="16"/>
    <tableColumn id="6" xr3:uid="{88D79C57-C3FB-4564-A7BE-EDB347046130}" name="01-Jun-2026" dataDxfId="15"/>
    <tableColumn id="7" xr3:uid="{FBD55C5C-8427-4396-A9A1-D8D5EEDAA0F8}" name="01-Jul-2026" dataDxfId="14"/>
    <tableColumn id="8" xr3:uid="{16A53D90-2572-4B4A-B792-FF1B1888C5A4}" name="01-Aug-2026" dataDxfId="13"/>
    <tableColumn id="9" xr3:uid="{153860B1-419C-48D2-8D33-F85625CFBC01}" name="01-Sep-2026" dataDxfId="12"/>
    <tableColumn id="10" xr3:uid="{C6E67E4F-856C-4338-B620-93C903A271F9}" name="01-Oct-2026" dataDxfId="1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10"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F8" sqref="F8"/>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9" priority="1" operator="lessThan">
      <formula>0.8</formula>
    </cfRule>
    <cfRule type="cellIs" dxfId="8"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G16" sqref="G16"/>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46476</v>
      </c>
      <c r="C2" s="8">
        <v>46538</v>
      </c>
      <c r="D2" s="17">
        <f>B2-C2</f>
        <v>-62</v>
      </c>
      <c r="E2" s="41" t="s">
        <v>2296</v>
      </c>
      <c r="F2" s="41" t="s">
        <v>2298</v>
      </c>
      <c r="G2" s="42" t="s">
        <v>2299</v>
      </c>
    </row>
    <row r="3" spans="1:9" ht="24" customHeight="1" x14ac:dyDescent="0.3">
      <c r="A3" s="16" t="s">
        <v>27</v>
      </c>
      <c r="B3" s="8">
        <v>46475</v>
      </c>
      <c r="C3" s="8">
        <v>46529</v>
      </c>
      <c r="D3" s="17">
        <f t="shared" ref="D3:D6" si="0">B3-C3</f>
        <v>-54</v>
      </c>
      <c r="E3" s="41" t="s">
        <v>2139</v>
      </c>
      <c r="F3" s="16" t="s">
        <v>2137</v>
      </c>
      <c r="G3" s="3" t="s">
        <v>2138</v>
      </c>
    </row>
    <row r="4" spans="1:9" ht="38.4" customHeight="1" x14ac:dyDescent="0.3">
      <c r="A4" s="16" t="s">
        <v>28</v>
      </c>
      <c r="B4" s="8">
        <v>46475</v>
      </c>
      <c r="C4" s="8">
        <v>46539</v>
      </c>
      <c r="D4" s="17">
        <f t="shared" si="0"/>
        <v>-64</v>
      </c>
      <c r="E4" s="41" t="s">
        <v>2296</v>
      </c>
      <c r="F4" s="41" t="s">
        <v>2298</v>
      </c>
      <c r="G4" s="42" t="s">
        <v>2299</v>
      </c>
    </row>
    <row r="5" spans="1:9" ht="24" customHeight="1" x14ac:dyDescent="0.3">
      <c r="A5" s="16" t="s">
        <v>29</v>
      </c>
      <c r="B5" s="8">
        <v>46477</v>
      </c>
      <c r="C5" s="8">
        <v>46504</v>
      </c>
      <c r="D5" s="17">
        <f t="shared" si="0"/>
        <v>-27</v>
      </c>
      <c r="E5" s="41" t="s">
        <v>2297</v>
      </c>
      <c r="F5" s="41"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40" t="s">
        <v>2278</v>
      </c>
      <c r="B7" s="40" t="s">
        <v>1711</v>
      </c>
      <c r="C7" s="40" t="s">
        <v>1711</v>
      </c>
      <c r="D7" s="40" t="s">
        <v>1711</v>
      </c>
      <c r="E7" s="40" t="s">
        <v>2279</v>
      </c>
      <c r="F7" s="40"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2"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tabSelected="1"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39" t="s">
        <v>2232</v>
      </c>
      <c r="B1" s="39"/>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Project_Info</vt:lpstr>
      <vt:lpstr>Overall_Progress</vt:lpstr>
      <vt:lpstr>Phase_Progress</vt:lpstr>
      <vt:lpstr>Activities</vt:lpstr>
      <vt:lpstr>Delays</vt:lpstr>
      <vt:lpstr>Issues_Risks</vt:lpstr>
      <vt:lpstr>Site_Photos</vt:lpstr>
      <vt:lpstr>SPI Trend</vt:lpstr>
      <vt:lpstr>S-Curve</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2026-06-11T12:23:31Z</dcterms:modified>
</cp:coreProperties>
</file>